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enarios" sheetId="2" state="visible" r:id="rId4"/>
    <sheet name="Unit Economics" sheetId="3" state="visible" r:id="rId5"/>
    <sheet name="12-Month (Base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<sst xmlns="http://schemas.openxmlformats.org/spreadsheetml/2006/main" count="151" uniqueCount="135">
  <si>
    <t xml:space="preserve">PotBot — Economics Model</t>
  </si>
  <si>
    <t xml:space="preserve">Unit economics + revenue scenarios + 12-month projection. June 2026.</t>
  </si>
  <si>
    <t xml:space="preserve">How to use:</t>
  </si>
  <si>
    <t xml:space="preserve">  • Blue cells = inputs you can change. Black = formulas. Green = links to other sheets.</t>
  </si>
  <si>
    <t xml:space="preserve">  • 'Scenarios' is the core: Conservative / Base / Aggressive side by side.</t>
  </si>
  <si>
    <t xml:space="preserve">  • 'Unit Economics' explains the revenue streams per pot / per vault.</t>
  </si>
  <si>
    <t xml:space="preserve">  • '12-Month' projects the Base case with monthly growth.</t>
  </si>
  <si>
    <t xml:space="preserve">Revenue streams (from the PotBot fee model):</t>
  </si>
  <si>
    <t xml:space="preserve">  1. Protocol swap fee — 0.30% on volume traded by pots (PotBot keeps it).</t>
  </si>
  <si>
    <t xml:space="preserve">  2. Entry fee share — PotBot takes 20% of Strategy Vault entry fees (70% creator / 10% referrer).</t>
  </si>
  <si>
    <t xml:space="preserve">  3. Performance fee share — PotBot takes a share of the creator performance fee (on profit).</t>
  </si>
  <si>
    <t xml:space="preserve">  4. Premium subscriptions — native Solana subscriptions for premium features (post-mainnet).</t>
  </si>
  <si>
    <t xml:space="preserve">All figures are planning estimates, not guarantees. Adjust the blue inputs to your real data.</t>
  </si>
  <si>
    <t xml:space="preserve">Note: revenue here is gross protocol revenue (pre-cost). Operating costs are listed on 'Unit Economics'.</t>
  </si>
  <si>
    <t xml:space="preserve">Revenue Scenarios (monthly run-rate)</t>
  </si>
  <si>
    <t xml:space="preserve">Blue = inputs. Change them to model your own assumptions.</t>
  </si>
  <si>
    <t xml:space="preserve">Driver / Output</t>
  </si>
  <si>
    <t xml:space="preserve">Conservative</t>
  </si>
  <si>
    <t xml:space="preserve">Base</t>
  </si>
  <si>
    <t xml:space="preserve">Aggressive</t>
  </si>
  <si>
    <t xml:space="preserve">INPUTS — Network</t>
  </si>
  <si>
    <t xml:space="preserve">Active pots</t>
  </si>
  <si>
    <t xml:space="preserve">Avg pot size (TVL) ($)</t>
  </si>
  <si>
    <t xml:space="preserve">Monthly turnover (% of TVL traded)</t>
  </si>
  <si>
    <t xml:space="preserve">Protocol swap fee % (PotBot)</t>
  </si>
  <si>
    <t xml:space="preserve">INPUTS — Strategy Vaults</t>
  </si>
  <si>
    <t xml:space="preserve"># Strategy Vaults</t>
  </si>
  <si>
    <t xml:space="preserve">Avg monthly inflow per vault ($)</t>
  </si>
  <si>
    <t xml:space="preserve">Entry fee % (total)</t>
  </si>
  <si>
    <t xml:space="preserve">PotBot share of entry fee</t>
  </si>
  <si>
    <t xml:space="preserve">Avg AUM per Strategy Vault ($)</t>
  </si>
  <si>
    <t xml:space="preserve">Monthly return on AUM (%)</t>
  </si>
  <si>
    <t xml:space="preserve">Performance fee % (total, on profit)</t>
  </si>
  <si>
    <t xml:space="preserve">PotBot share of performance fee</t>
  </si>
  <si>
    <t xml:space="preserve">INPUTS — Subscriptions</t>
  </si>
  <si>
    <t xml:space="preserve"># Premium subscribers</t>
  </si>
  <si>
    <t xml:space="preserve">Subscription price / mo ($)</t>
  </si>
  <si>
    <t xml:space="preserve">OUTPUTS — Monthly revenue</t>
  </si>
  <si>
    <t xml:space="preserve">TVL ($)</t>
  </si>
  <si>
    <t xml:space="preserve">Swap fee revenue ($/mo)</t>
  </si>
  <si>
    <t xml:space="preserve">Entry fee revenue ($/mo)</t>
  </si>
  <si>
    <t xml:space="preserve">Performance fee revenue ($/mo)</t>
  </si>
  <si>
    <t xml:space="preserve">Subscription revenue ($/mo)</t>
  </si>
  <si>
    <t xml:space="preserve">Total PotBot revenue ($/mo)</t>
  </si>
  <si>
    <t xml:space="preserve">Annualized revenue ($/yr)</t>
  </si>
  <si>
    <t xml:space="preserve">Tip: 'Total revenue' is gross protocol revenue per month. Multiply by 12 for run-rate.</t>
  </si>
  <si>
    <t xml:space="preserve">Unit Economics &amp; Fee Model</t>
  </si>
  <si>
    <t xml:space="preserve">Per-pot and per-vault economics, plus the fee split and operating costs.</t>
  </si>
  <si>
    <t xml:space="preserve">Fee split (Strategy Vaults)</t>
  </si>
  <si>
    <t xml:space="preserve">Value</t>
  </si>
  <si>
    <t xml:space="preserve">Notes</t>
  </si>
  <si>
    <t xml:space="preserve">Entry fee — creator share</t>
  </si>
  <si>
    <t xml:space="preserve">Paid at join</t>
  </si>
  <si>
    <t xml:space="preserve">Entry fee — PotBot share</t>
  </si>
  <si>
    <t xml:space="preserve">Protocol revenue</t>
  </si>
  <si>
    <t xml:space="preserve">Entry fee — referrer share (L1)</t>
  </si>
  <si>
    <t xml:space="preserve">On-chain, instant</t>
  </si>
  <si>
    <t xml:space="preserve">Referrer L2 share</t>
  </si>
  <si>
    <t xml:space="preserve">Of entry fee, second-tier</t>
  </si>
  <si>
    <t xml:space="preserve">Performance fee (total)</t>
  </si>
  <si>
    <t xml:space="preserve">On profit at exit</t>
  </si>
  <si>
    <t xml:space="preserve">Management fee (creator)</t>
  </si>
  <si>
    <t xml:space="preserve">Annual on AUM (creator keeps)</t>
  </si>
  <si>
    <t xml:space="preserve">Protocol swap fee</t>
  </si>
  <si>
    <t xml:space="preserve">PotBot, Money-Tree-discounted</t>
  </si>
  <si>
    <t xml:space="preserve">Example: one active pot (per month)</t>
  </si>
  <si>
    <t xml:space="preserve">Formula / note</t>
  </si>
  <si>
    <t xml:space="preserve">Pot TVL ($)</t>
  </si>
  <si>
    <t xml:space="preserve">input</t>
  </si>
  <si>
    <t xml:space="preserve">Monthly turnover (% of TVL)</t>
  </si>
  <si>
    <t xml:space="preserve">Swap fee %</t>
  </si>
  <si>
    <t xml:space="preserve">Swap fee revenue to PotBot ($/mo)</t>
  </si>
  <si>
    <t xml:space="preserve">Example: one Strategy Vault (per month)</t>
  </si>
  <si>
    <t xml:space="preserve">Monthly inflow ($)</t>
  </si>
  <si>
    <t xml:space="preserve">PotBot entry share</t>
  </si>
  <si>
    <t xml:space="preserve">AUM ($)</t>
  </si>
  <si>
    <t xml:space="preserve">Monthly return on AUM</t>
  </si>
  <si>
    <t xml:space="preserve">Performance fee % (total)</t>
  </si>
  <si>
    <t xml:space="preserve">PotBot performance share</t>
  </si>
  <si>
    <t xml:space="preserve">Entry fee rev to PotBot ($/mo)</t>
  </si>
  <si>
    <t xml:space="preserve">Perf fee rev to PotBot ($/mo)</t>
  </si>
  <si>
    <t xml:space="preserve">Total PotBot rev / vault ($/mo)</t>
  </si>
  <si>
    <t xml:space="preserve">Indicative monthly operating costs</t>
  </si>
  <si>
    <t xml:space="preserve">$/mo</t>
  </si>
  <si>
    <t xml:space="preserve">Note</t>
  </si>
  <si>
    <t xml:space="preserve">RPC (Helius paid)</t>
  </si>
  <si>
    <t xml:space="preserve">Mainnet RPC for DApp + keeper</t>
  </si>
  <si>
    <t xml:space="preserve">Hosting (Vercel + DB/Redis)</t>
  </si>
  <si>
    <t xml:space="preserve">web + api + Supabase/Redis</t>
  </si>
  <si>
    <t xml:space="preserve">AI tools (Claude/Codex)</t>
  </si>
  <si>
    <t xml:space="preserve">Dev productivity</t>
  </si>
  <si>
    <t xml:space="preserve">Oracle / data</t>
  </si>
  <si>
    <t xml:space="preserve">Pyth/Jupiter data</t>
  </si>
  <si>
    <t xml:space="preserve">Misc / monitoring</t>
  </si>
  <si>
    <t xml:space="preserve">Logs, alerts</t>
  </si>
  <si>
    <t xml:space="preserve">Total monthly opex ($)</t>
  </si>
  <si>
    <t xml:space="preserve">Lean solo-founder cost base</t>
  </si>
  <si>
    <t xml:space="preserve">12-Month Projection — Base case</t>
  </si>
  <si>
    <t xml:space="preserve">Pots grow monthly; unit economics from the Base scenario. Blue = inputs.</t>
  </si>
  <si>
    <t xml:space="preserve">Assumptions (blue = input)</t>
  </si>
  <si>
    <t xml:space="preserve">Starting active pots</t>
  </si>
  <si>
    <t xml:space="preserve">Monthly pot growth %</t>
  </si>
  <si>
    <t xml:space="preserve">Avg pot size (TVL) $</t>
  </si>
  <si>
    <t xml:space="preserve">Monthly turnover % of TVL</t>
  </si>
  <si>
    <t xml:space="preserve">Strategy vaults as % of pots</t>
  </si>
  <si>
    <t xml:space="preserve">Avg monthly inflow / vault $</t>
  </si>
  <si>
    <t xml:space="preserve">Entry fee % x PotBot share</t>
  </si>
  <si>
    <t xml:space="preserve">Avg AUM / vault $</t>
  </si>
  <si>
    <t xml:space="preserve">Monthly return x perf fee x share</t>
  </si>
  <si>
    <t xml:space="preserve">Subscribers (start)</t>
  </si>
  <si>
    <t xml:space="preserve">Subscriber growth % / mo</t>
  </si>
  <si>
    <t xml:space="preserve">Subscription price $/mo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</si>
  <si>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</si>
  <si>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</si>
  <si>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</si>
  <si>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</si>
  <si>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</si>
  <si>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</si>
  <si>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</si>
  <si>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</si>
  <si>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</si>
  <si>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</si>
  <si>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</si>
  <si>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</si>
  <si>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</si>
  <si>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Swap fee rev ($)</t>
  </si>
  <si>
    <t xml:space="preserve"># Strategy vaults</t>
  </si>
  <si>
    <t xml:space="preserve">Entry fee rev ($)</t>
  </si>
  <si>
    <t xml:space="preserve">Perf fee rev ($)</t>
  </si>
  <si>
    <t xml:space="preserve">Subscribers</t>
  </si>
  <si>
    <t xml:space="preserve">Subscription rev ($)</t>
  </si>
  <si>
    <t xml:space="preserve">Total revenue ($)</t>
  </si>
  <si>
    <t xml:space="preserve">Cumulative ($)</t>
  </si>
  <si>
    <t xml:space="preserve">Year-1 total revenue ($)</t>
  </si>
  <si>
    <t xml:space="preserve">Exit run-rate (M12 x 12) ($)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</si>
</sst>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;&quot;($&quot;#,##0\);\-"/>
    <numFmt numFmtId="167" formatCode="0.0%"/>
    <numFmt numFmtId="168" formatCode="0.000%"/>
    <numFmt numFmtId="169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D111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1A233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9945FF"/>
        <bgColor rgb="FF993366"/>
      </patternFill>
    </fill>
    <fill>
      <patternFill patternType="solid">
        <fgColor rgb="FFECFBF5"/>
        <bgColor rgb="FFF5F7F9"/>
      </patternFill>
    </fill>
    <fill>
      <patternFill patternType="solid">
        <fgColor rgb="FFFFF6CC"/>
        <bgColor rgb="FFF5F7F9"/>
      </patternFill>
    </fill>
    <fill>
      <patternFill patternType="solid">
        <fgColor rgb="FF14F195"/>
        <bgColor rgb="FF00FFFF"/>
      </patternFill>
    </fill>
    <fill>
      <patternFill patternType="solid">
        <fgColor rgb="FFF5F7F9"/>
        <bgColor rgb="FFECFB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DE3"/>
      </left>
      <right style="thin">
        <color rgb="FFD7DDE3"/>
      </right>
      <top style="thin">
        <color rgb="FFD7DDE3"/>
      </top>
      <bottom style="thin">
        <color rgb="FFD7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45FF"/>
      <rgbColor rgb="FFFFF6CC"/>
      <rgbColor rgb="FFECFBF5"/>
      <rgbColor rgb="FF660066"/>
      <rgbColor rgb="FFFF8080"/>
      <rgbColor rgb="FF0066CC"/>
      <rgbColor rgb="FFD7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9"/>
      <rgbColor rgb="FFCCFFCC"/>
      <rgbColor rgb="FFFFFF99"/>
      <rgbColor rgb="FF99CCFF"/>
      <rgbColor rgb="FFFF99CC"/>
      <rgbColor rgb="FFCC99FF"/>
      <rgbColor rgb="FFFFCC99"/>
      <rgbColor rgb="FF3366FF"/>
      <rgbColor rgb="FF14F195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D1117"/>
      <rgbColor rgb="FF333300"/>
      <rgbColor rgb="FF993300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6"/>
  </cols>
  <sheetData>
    <row r="2" customFormat="false" ht="18.55" hidden="false" customHeight="false" outlineLevel="0" collapsed="false">
      <c r="B2" s="1" t="s">
        <v>14</v>
      </c>
    </row>
    <row r="3" customFormat="false" ht="15" hidden="false" customHeight="false" outlineLevel="0" collapsed="false">
      <c r="B3" s="2" t="s">
        <v>15</v>
      </c>
    </row>
    <row r="5" customFormat="false" ht="15" hidden="false" customHeight="false" outlineLevel="0" collapsed="false">
      <c r="B5" s="5" t="s">
        <v>16</v>
      </c>
      <c r="C5" s="5" t="s">
        <v>17</v>
      </c>
      <c r="D5" s="5" t="s">
        <v>18</v>
      </c>
      <c r="E5" s="5" t="s">
        <v>19</v>
      </c>
    </row>
    <row r="6" customFormat="false" ht="15" hidden="false" customHeight="false" outlineLevel="0" collapsed="false">
      <c r="B6" s="6" t="s">
        <v>20</v>
      </c>
      <c r="C6" s="7"/>
      <c r="D6" s="7"/>
      <c r="E6" s="7"/>
    </row>
    <row r="7" customFormat="false" ht="15" hidden="false" customHeight="false" outlineLevel="0" collapsed="false">
      <c r="B7" s="8" t="s">
        <v>21</v>
      </c>
      <c r="C7" s="9" t="n">
        <v>50</v>
      </c>
      <c r="D7" s="9" t="n">
        <v>250</v>
      </c>
      <c r="E7" s="9" t="n">
        <v>1200</v>
      </c>
    </row>
    <row r="8" customFormat="false" ht="15" hidden="false" customHeight="false" outlineLevel="0" collapsed="false">
      <c r="B8" s="8" t="s">
        <v>22</v>
      </c>
      <c r="C8" s="10" t="n">
        <v>3000</v>
      </c>
      <c r="D8" s="10" t="n">
        <v>8000</v>
      </c>
      <c r="E8" s="10" t="n">
        <v>20000</v>
      </c>
    </row>
    <row r="9" customFormat="false" ht="15" hidden="false" customHeight="false" outlineLevel="0" collapsed="false">
      <c r="B9" s="8" t="s">
        <v>23</v>
      </c>
      <c r="C9" s="11" t="n">
        <v>0.4</v>
      </c>
      <c r="D9" s="11" t="n">
        <v>0.8</v>
      </c>
      <c r="E9" s="11" t="n">
        <v>1.5</v>
      </c>
    </row>
    <row r="10" customFormat="false" ht="15" hidden="false" customHeight="false" outlineLevel="0" collapsed="false">
      <c r="B10" s="8" t="s">
        <v>24</v>
      </c>
      <c r="C10" s="12" t="n">
        <v>0.003</v>
      </c>
      <c r="D10" s="12" t="n">
        <v>0.003</v>
      </c>
      <c r="E10" s="12" t="n">
        <v>0.003</v>
      </c>
    </row>
    <row r="11" customFormat="false" ht="15" hidden="false" customHeight="false" outlineLevel="0" collapsed="false">
      <c r="B11" s="6" t="s">
        <v>25</v>
      </c>
      <c r="C11" s="7"/>
      <c r="D11" s="7"/>
      <c r="E11" s="7"/>
    </row>
    <row r="12" customFormat="false" ht="15" hidden="false" customHeight="false" outlineLevel="0" collapsed="false">
      <c r="B12" s="8" t="s">
        <v>26</v>
      </c>
      <c r="C12" s="9" t="n">
        <v>10</v>
      </c>
      <c r="D12" s="9" t="n">
        <v>60</v>
      </c>
      <c r="E12" s="9" t="n">
        <v>350</v>
      </c>
    </row>
    <row r="13" customFormat="false" ht="15" hidden="false" customHeight="false" outlineLevel="0" collapsed="false">
      <c r="B13" s="8" t="s">
        <v>27</v>
      </c>
      <c r="C13" s="10" t="n">
        <v>1500</v>
      </c>
      <c r="D13" s="10" t="n">
        <v>4000</v>
      </c>
      <c r="E13" s="10" t="n">
        <v>9000</v>
      </c>
    </row>
    <row r="14" customFormat="false" ht="15" hidden="false" customHeight="false" outlineLevel="0" collapsed="false">
      <c r="B14" s="8" t="s">
        <v>28</v>
      </c>
      <c r="C14" s="11" t="n">
        <v>0.01</v>
      </c>
      <c r="D14" s="11" t="n">
        <v>0.015</v>
      </c>
      <c r="E14" s="11" t="n">
        <v>0.02</v>
      </c>
    </row>
    <row r="15" customFormat="false" ht="15" hidden="false" customHeight="false" outlineLevel="0" collapsed="false">
      <c r="B15" s="8" t="s">
        <v>29</v>
      </c>
      <c r="C15" s="11" t="n">
        <v>0.2</v>
      </c>
      <c r="D15" s="11" t="n">
        <v>0.2</v>
      </c>
      <c r="E15" s="11" t="n">
        <v>0.2</v>
      </c>
    </row>
    <row r="16" customFormat="false" ht="15" hidden="false" customHeight="false" outlineLevel="0" collapsed="false">
      <c r="B16" s="8" t="s">
        <v>30</v>
      </c>
      <c r="C16" s="10" t="n">
        <v>4000</v>
      </c>
      <c r="D16" s="10" t="n">
        <v>12000</v>
      </c>
      <c r="E16" s="10" t="n">
        <v>30000</v>
      </c>
    </row>
    <row r="17" customFormat="false" ht="15" hidden="false" customHeight="false" outlineLevel="0" collapsed="false">
      <c r="B17" s="8" t="s">
        <v>31</v>
      </c>
      <c r="C17" s="11" t="n">
        <v>0.02</v>
      </c>
      <c r="D17" s="11" t="n">
        <v>0.04</v>
      </c>
      <c r="E17" s="11" t="n">
        <v>0.07</v>
      </c>
    </row>
    <row r="18" customFormat="false" ht="15" hidden="false" customHeight="false" outlineLevel="0" collapsed="false">
      <c r="B18" s="8" t="s">
        <v>32</v>
      </c>
      <c r="C18" s="11" t="n">
        <v>0.1</v>
      </c>
      <c r="D18" s="11" t="n">
        <v>0.15</v>
      </c>
      <c r="E18" s="11" t="n">
        <v>0.2</v>
      </c>
    </row>
    <row r="19" customFormat="false" ht="15" hidden="false" customHeight="false" outlineLevel="0" collapsed="false">
      <c r="B19" s="8" t="s">
        <v>33</v>
      </c>
      <c r="C19" s="11" t="n">
        <v>0.25</v>
      </c>
      <c r="D19" s="11" t="n">
        <v>0.25</v>
      </c>
      <c r="E19" s="11" t="n">
        <v>0.25</v>
      </c>
    </row>
    <row r="20" customFormat="false" ht="15" hidden="false" customHeight="false" outlineLevel="0" collapsed="false">
      <c r="B20" s="6" t="s">
        <v>34</v>
      </c>
      <c r="C20" s="7"/>
      <c r="D20" s="7"/>
      <c r="E20" s="7"/>
    </row>
    <row r="21" customFormat="false" ht="15" hidden="false" customHeight="false" outlineLevel="0" collapsed="false">
      <c r="B21" s="8" t="s">
        <v>35</v>
      </c>
      <c r="C21" s="9" t="n">
        <v>20</v>
      </c>
      <c r="D21" s="9" t="n">
        <v>150</v>
      </c>
      <c r="E21" s="9" t="n">
        <v>1000</v>
      </c>
    </row>
    <row r="22" customFormat="false" ht="15" hidden="false" customHeight="false" outlineLevel="0" collapsed="false">
      <c r="B22" s="8" t="s">
        <v>36</v>
      </c>
      <c r="C22" s="13" t="n">
        <v>9</v>
      </c>
      <c r="D22" s="13" t="n">
        <v>9</v>
      </c>
      <c r="E22" s="13" t="n">
        <v>12</v>
      </c>
    </row>
    <row r="23" customFormat="false" ht="15" hidden="false" customHeight="false" outlineLevel="0" collapsed="false">
      <c r="B23" s="6" t="s">
        <v>37</v>
      </c>
      <c r="C23" s="7"/>
      <c r="D23" s="7"/>
      <c r="E23" s="7"/>
    </row>
    <row r="24" customFormat="false" ht="15" hidden="false" customHeight="false" outlineLevel="0" collapsed="false">
      <c r="B24" s="8" t="s">
        <v>38</v>
      </c>
      <c r="C24" s="14" t="n">
        <f aca="false">C7*C8</f>
        <v>150000</v>
      </c>
      <c r="D24" s="14" t="n">
        <f aca="false">D7*D8</f>
        <v>2000000</v>
      </c>
      <c r="E24" s="14" t="n">
        <f aca="false">E7*E8</f>
        <v>24000000</v>
      </c>
    </row>
    <row r="25" customFormat="false" ht="15" hidden="false" customHeight="false" outlineLevel="0" collapsed="false">
      <c r="B25" s="8" t="s">
        <v>39</v>
      </c>
      <c r="C25" s="14" t="n">
        <f aca="false">C24*C9*C10</f>
        <v>180</v>
      </c>
      <c r="D25" s="14" t="n">
        <f aca="false">D24*D9*D10</f>
        <v>4800</v>
      </c>
      <c r="E25" s="14" t="n">
        <f aca="false">E24*E9*E10</f>
        <v>108000</v>
      </c>
    </row>
    <row r="26" customFormat="false" ht="15" hidden="false" customHeight="false" outlineLevel="0" collapsed="false">
      <c r="B26" s="8" t="s">
        <v>40</v>
      </c>
      <c r="C26" s="14" t="n">
        <f aca="false">C12*C13*C14*C15</f>
        <v>30</v>
      </c>
      <c r="D26" s="14" t="n">
        <f aca="false">D12*D13*D14*D15</f>
        <v>720</v>
      </c>
      <c r="E26" s="14" t="n">
        <f aca="false">E12*E13*E14*E15</f>
        <v>12600</v>
      </c>
    </row>
    <row r="27" customFormat="false" ht="15" hidden="false" customHeight="false" outlineLevel="0" collapsed="false">
      <c r="B27" s="8" t="s">
        <v>41</v>
      </c>
      <c r="C27" s="14" t="n">
        <f aca="false">C12*C16*C17*C18*C19</f>
        <v>20</v>
      </c>
      <c r="D27" s="14" t="n">
        <f aca="false">D12*D16*D17*D18*D19</f>
        <v>1080</v>
      </c>
      <c r="E27" s="14" t="n">
        <f aca="false">E12*E16*E17*E18*E19</f>
        <v>36750</v>
      </c>
    </row>
    <row r="28" customFormat="false" ht="15" hidden="false" customHeight="false" outlineLevel="0" collapsed="false">
      <c r="B28" s="8" t="s">
        <v>42</v>
      </c>
      <c r="C28" s="14" t="n">
        <f aca="false">C21*C22</f>
        <v>180</v>
      </c>
      <c r="D28" s="14" t="n">
        <f aca="false">D21*D22</f>
        <v>1350</v>
      </c>
      <c r="E28" s="14" t="n">
        <f aca="false">E21*E22</f>
        <v>12000</v>
      </c>
    </row>
    <row r="29" customFormat="false" ht="15" hidden="false" customHeight="false" outlineLevel="0" collapsed="false">
      <c r="B29" s="8" t="s">
        <v>43</v>
      </c>
      <c r="C29" s="15" t="n">
        <f aca="false">SUM(C25:C28)</f>
        <v>410</v>
      </c>
      <c r="D29" s="15" t="n">
        <f aca="false">SUM(D25:D28)</f>
        <v>7950</v>
      </c>
      <c r="E29" s="15" t="n">
        <f aca="false">SUM(E25:E28)</f>
        <v>169350</v>
      </c>
    </row>
    <row r="30" customFormat="false" ht="15" hidden="false" customHeight="false" outlineLevel="0" collapsed="false">
      <c r="B30" s="8" t="s">
        <v>44</v>
      </c>
      <c r="C30" s="15" t="n">
        <f aca="false">C29*12</f>
        <v>4920</v>
      </c>
      <c r="D30" s="15" t="n">
        <f aca="false">D29*12</f>
        <v>95400</v>
      </c>
      <c r="E30" s="15" t="n">
        <f aca="false">E29*12</f>
        <v>2032200</v>
      </c>
    </row>
    <row r="32" customFormat="false" ht="15" hidden="false" customHeight="false" outlineLevel="0" collapsed="false">
      <c r="B32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0"/>
  </cols>
  <sheetData>
    <row r="2" customFormat="false" ht="18.55" hidden="false" customHeight="false" outlineLevel="0" collapsed="false">
      <c r="B2" s="1" t="s">
        <v>46</v>
      </c>
    </row>
    <row r="3" customFormat="false" ht="15" hidden="false" customHeight="false" outlineLevel="0" collapsed="false">
      <c r="B3" s="2" t="s">
        <v>47</v>
      </c>
    </row>
    <row r="5" customFormat="false" ht="15" hidden="false" customHeight="false" outlineLevel="0" collapsed="false">
      <c r="B5" s="16" t="s">
        <v>48</v>
      </c>
      <c r="C5" s="16" t="s">
        <v>49</v>
      </c>
      <c r="D5" s="16" t="s">
        <v>50</v>
      </c>
    </row>
    <row r="6" customFormat="false" ht="15" hidden="false" customHeight="false" outlineLevel="0" collapsed="false">
      <c r="B6" s="17" t="s">
        <v>51</v>
      </c>
      <c r="C6" s="11" t="n">
        <v>0.7</v>
      </c>
      <c r="D6" s="18" t="s">
        <v>52</v>
      </c>
    </row>
    <row r="7" customFormat="false" ht="15" hidden="false" customHeight="false" outlineLevel="0" collapsed="false">
      <c r="B7" s="17" t="s">
        <v>53</v>
      </c>
      <c r="C7" s="11" t="n">
        <v>0.2</v>
      </c>
      <c r="D7" s="18" t="s">
        <v>54</v>
      </c>
    </row>
    <row r="8" customFormat="false" ht="15" hidden="false" customHeight="false" outlineLevel="0" collapsed="false">
      <c r="B8" s="17" t="s">
        <v>55</v>
      </c>
      <c r="C8" s="11" t="n">
        <v>0.1</v>
      </c>
      <c r="D8" s="18" t="s">
        <v>56</v>
      </c>
    </row>
    <row r="9" customFormat="false" ht="15" hidden="false" customHeight="false" outlineLevel="0" collapsed="false">
      <c r="B9" s="17" t="s">
        <v>57</v>
      </c>
      <c r="C9" s="11" t="n">
        <v>0.05</v>
      </c>
      <c r="D9" s="18" t="s">
        <v>58</v>
      </c>
    </row>
    <row r="10" customFormat="false" ht="15" hidden="false" customHeight="false" outlineLevel="0" collapsed="false">
      <c r="B10" s="17" t="s">
        <v>59</v>
      </c>
      <c r="C10" s="11" t="n">
        <v>0.15</v>
      </c>
      <c r="D10" s="18" t="s">
        <v>60</v>
      </c>
    </row>
    <row r="11" customFormat="false" ht="15" hidden="false" customHeight="false" outlineLevel="0" collapsed="false">
      <c r="B11" s="17" t="s">
        <v>61</v>
      </c>
      <c r="C11" s="11" t="n">
        <v>0.02</v>
      </c>
      <c r="D11" s="18" t="s">
        <v>62</v>
      </c>
    </row>
    <row r="12" customFormat="false" ht="15" hidden="false" customHeight="false" outlineLevel="0" collapsed="false">
      <c r="B12" s="17" t="s">
        <v>63</v>
      </c>
      <c r="C12" s="12" t="n">
        <v>0.003</v>
      </c>
      <c r="D12" s="18" t="s">
        <v>64</v>
      </c>
    </row>
    <row r="14" customFormat="false" ht="15" hidden="false" customHeight="false" outlineLevel="0" collapsed="false">
      <c r="B14" s="16" t="s">
        <v>65</v>
      </c>
      <c r="C14" s="16" t="s">
        <v>49</v>
      </c>
      <c r="D14" s="16" t="s">
        <v>66</v>
      </c>
    </row>
    <row r="15" customFormat="false" ht="15" hidden="false" customHeight="false" outlineLevel="0" collapsed="false">
      <c r="B15" s="17" t="s">
        <v>67</v>
      </c>
      <c r="C15" s="10" t="n">
        <v>8000</v>
      </c>
      <c r="D15" s="18" t="s">
        <v>68</v>
      </c>
    </row>
    <row r="16" customFormat="false" ht="15" hidden="false" customHeight="false" outlineLevel="0" collapsed="false">
      <c r="B16" s="17" t="s">
        <v>69</v>
      </c>
      <c r="C16" s="11" t="n">
        <v>0.8</v>
      </c>
      <c r="D16" s="18" t="s">
        <v>68</v>
      </c>
    </row>
    <row r="17" customFormat="false" ht="15" hidden="false" customHeight="false" outlineLevel="0" collapsed="false">
      <c r="B17" s="17" t="s">
        <v>70</v>
      </c>
      <c r="C17" s="12" t="n">
        <v>0.003</v>
      </c>
      <c r="D17" s="18" t="s">
        <v>68</v>
      </c>
    </row>
    <row r="18" customFormat="false" ht="15" hidden="false" customHeight="false" outlineLevel="0" collapsed="false">
      <c r="B18" s="17" t="s">
        <v>71</v>
      </c>
      <c r="C18" s="15" t="n">
        <f aca="false">C15*C16*C17</f>
        <v>19.2</v>
      </c>
      <c r="D18" s="18" t="n">
        <f aca="false">C15*C16*C17</f>
        <v>19.2</v>
      </c>
    </row>
    <row r="20" customFormat="false" ht="15" hidden="false" customHeight="false" outlineLevel="0" collapsed="false">
      <c r="B20" s="16" t="s">
        <v>72</v>
      </c>
      <c r="C20" s="16" t="s">
        <v>49</v>
      </c>
      <c r="D20" s="16" t="s">
        <v>66</v>
      </c>
    </row>
    <row r="21" customFormat="false" ht="15" hidden="false" customHeight="false" outlineLevel="0" collapsed="false">
      <c r="B21" s="17" t="s">
        <v>73</v>
      </c>
      <c r="C21" s="10" t="n">
        <v>4000</v>
      </c>
      <c r="D21" s="18" t="s">
        <v>68</v>
      </c>
    </row>
    <row r="22" customFormat="false" ht="15" hidden="false" customHeight="false" outlineLevel="0" collapsed="false">
      <c r="B22" s="17" t="s">
        <v>28</v>
      </c>
      <c r="C22" s="11" t="n">
        <v>0.015</v>
      </c>
      <c r="D22" s="18" t="s">
        <v>68</v>
      </c>
    </row>
    <row r="23" customFormat="false" ht="15" hidden="false" customHeight="false" outlineLevel="0" collapsed="false">
      <c r="B23" s="17" t="s">
        <v>74</v>
      </c>
      <c r="C23" s="11" t="n">
        <v>0.2</v>
      </c>
      <c r="D23" s="18" t="s">
        <v>68</v>
      </c>
    </row>
    <row r="24" customFormat="false" ht="15" hidden="false" customHeight="false" outlineLevel="0" collapsed="false">
      <c r="B24" s="17" t="s">
        <v>75</v>
      </c>
      <c r="C24" s="10" t="n">
        <v>12000</v>
      </c>
      <c r="D24" s="18" t="s">
        <v>68</v>
      </c>
    </row>
    <row r="25" customFormat="false" ht="15" hidden="false" customHeight="false" outlineLevel="0" collapsed="false">
      <c r="B25" s="17" t="s">
        <v>76</v>
      </c>
      <c r="C25" s="11" t="n">
        <v>0.04</v>
      </c>
      <c r="D25" s="18" t="s">
        <v>68</v>
      </c>
    </row>
    <row r="26" customFormat="false" ht="15" hidden="false" customHeight="false" outlineLevel="0" collapsed="false">
      <c r="B26" s="17" t="s">
        <v>77</v>
      </c>
      <c r="C26" s="11" t="n">
        <v>0.15</v>
      </c>
      <c r="D26" s="18" t="s">
        <v>68</v>
      </c>
    </row>
    <row r="27" customFormat="false" ht="15" hidden="false" customHeight="false" outlineLevel="0" collapsed="false">
      <c r="B27" s="17" t="s">
        <v>78</v>
      </c>
      <c r="C27" s="11" t="n">
        <v>0.25</v>
      </c>
      <c r="D27" s="18" t="s">
        <v>68</v>
      </c>
    </row>
    <row r="28" customFormat="false" ht="15" hidden="false" customHeight="false" outlineLevel="0" collapsed="false">
      <c r="B28" s="17" t="s">
        <v>79</v>
      </c>
      <c r="C28" s="15" t="n">
        <f aca="false">C21*C22*C23</f>
        <v>12</v>
      </c>
      <c r="D28" s="18" t="n">
        <f aca="false">C21*C22*C23</f>
        <v>12</v>
      </c>
    </row>
    <row r="29" customFormat="false" ht="15" hidden="false" customHeight="false" outlineLevel="0" collapsed="false">
      <c r="B29" s="17" t="s">
        <v>80</v>
      </c>
      <c r="C29" s="15" t="n">
        <f aca="false">C24*C25*C26*C27</f>
        <v>18</v>
      </c>
      <c r="D29" s="18" t="n">
        <f aca="false">C24*C25*C26*C27</f>
        <v>18</v>
      </c>
    </row>
    <row r="30" customFormat="false" ht="15" hidden="false" customHeight="false" outlineLevel="0" collapsed="false">
      <c r="B30" s="17" t="s">
        <v>81</v>
      </c>
      <c r="C30" s="15" t="n">
        <f aca="false">C28+C29</f>
        <v>30</v>
      </c>
      <c r="D30" s="18" t="n">
        <f aca="false">C28+C29</f>
        <v>30</v>
      </c>
    </row>
    <row r="33" customFormat="false" ht="15" hidden="false" customHeight="false" outlineLevel="0" collapsed="false">
      <c r="B33" s="5" t="s">
        <v>82</v>
      </c>
      <c r="C33" s="5" t="s">
        <v>83</v>
      </c>
      <c r="D33" s="5" t="s">
        <v>84</v>
      </c>
    </row>
    <row r="34" customFormat="false" ht="15" hidden="false" customHeight="false" outlineLevel="0" collapsed="false">
      <c r="B34" s="17" t="s">
        <v>85</v>
      </c>
      <c r="C34" s="10" t="n">
        <v>50</v>
      </c>
      <c r="D34" s="18" t="s">
        <v>86</v>
      </c>
    </row>
    <row r="35" customFormat="false" ht="15" hidden="false" customHeight="false" outlineLevel="0" collapsed="false">
      <c r="B35" s="17" t="s">
        <v>87</v>
      </c>
      <c r="C35" s="10" t="n">
        <v>60</v>
      </c>
      <c r="D35" s="18" t="s">
        <v>88</v>
      </c>
    </row>
    <row r="36" customFormat="false" ht="15" hidden="false" customHeight="false" outlineLevel="0" collapsed="false">
      <c r="B36" s="17" t="s">
        <v>89</v>
      </c>
      <c r="C36" s="10" t="n">
        <v>250</v>
      </c>
      <c r="D36" s="18" t="s">
        <v>90</v>
      </c>
    </row>
    <row r="37" customFormat="false" ht="15" hidden="false" customHeight="false" outlineLevel="0" collapsed="false">
      <c r="B37" s="17" t="s">
        <v>91</v>
      </c>
      <c r="C37" s="10" t="n">
        <v>30</v>
      </c>
      <c r="D37" s="18" t="s">
        <v>92</v>
      </c>
    </row>
    <row r="38" customFormat="false" ht="15" hidden="false" customHeight="false" outlineLevel="0" collapsed="false">
      <c r="B38" s="17" t="s">
        <v>93</v>
      </c>
      <c r="C38" s="10" t="n">
        <v>40</v>
      </c>
      <c r="D38" s="18" t="s">
        <v>94</v>
      </c>
    </row>
    <row r="39" customFormat="false" ht="15" hidden="false" customHeight="false" outlineLevel="0" collapsed="false">
      <c r="B39" s="19" t="s">
        <v>95</v>
      </c>
      <c r="C39" s="15" t="n">
        <f aca="false">SUM(C34:C38)</f>
        <v>430</v>
      </c>
      <c r="D39" s="18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4" min="3" style="0" width="11"/>
  </cols>
  <sheetData>
    <row r="2" customFormat="false" ht="18.55" hidden="false" customHeight="false" outlineLevel="0" collapsed="false">
      <c r="B2" s="1" t="s">
        <v>97</v>
      </c>
    </row>
    <row r="3" customFormat="false" ht="15" hidden="false" customHeight="false" outlineLevel="0" collapsed="false">
      <c r="B3" s="2" t="s">
        <v>98</v>
      </c>
    </row>
    <row r="5" customFormat="false" ht="15" hidden="false" customHeight="false" outlineLevel="0" collapsed="false">
      <c r="B5" s="6" t="s">
        <v>99</v>
      </c>
    </row>
    <row r="6" customFormat="false" ht="15" hidden="false" customHeight="false" outlineLevel="0" collapsed="false">
      <c r="B6" s="17" t="s">
        <v>100</v>
      </c>
      <c r="C6" s="9" t="n">
        <v>60</v>
      </c>
    </row>
    <row r="7" customFormat="false" ht="15" hidden="false" customHeight="false" outlineLevel="0" collapsed="false">
      <c r="B7" s="17" t="s">
        <v>101</v>
      </c>
      <c r="C7" s="11" t="n">
        <v>0.18</v>
      </c>
    </row>
    <row r="8" customFormat="false" ht="15" hidden="false" customHeight="false" outlineLevel="0" collapsed="false">
      <c r="B8" s="17" t="s">
        <v>102</v>
      </c>
      <c r="C8" s="10" t="n">
        <v>8000</v>
      </c>
    </row>
    <row r="9" customFormat="false" ht="15" hidden="false" customHeight="false" outlineLevel="0" collapsed="false">
      <c r="B9" s="17" t="s">
        <v>103</v>
      </c>
      <c r="C9" s="11" t="n">
        <v>0.8</v>
      </c>
    </row>
    <row r="10" customFormat="false" ht="15" hidden="false" customHeight="false" outlineLevel="0" collapsed="false">
      <c r="B10" s="17" t="s">
        <v>70</v>
      </c>
      <c r="C10" s="11" t="n">
        <v>0.003</v>
      </c>
    </row>
    <row r="11" customFormat="false" ht="15" hidden="false" customHeight="false" outlineLevel="0" collapsed="false">
      <c r="B11" s="17" t="s">
        <v>104</v>
      </c>
      <c r="C11" s="11" t="n">
        <v>0.25</v>
      </c>
    </row>
    <row r="12" customFormat="false" ht="15" hidden="false" customHeight="false" outlineLevel="0" collapsed="false">
      <c r="B12" s="17" t="s">
        <v>105</v>
      </c>
      <c r="C12" s="10" t="n">
        <v>4000</v>
      </c>
    </row>
    <row r="13" customFormat="false" ht="15" hidden="false" customHeight="false" outlineLevel="0" collapsed="false">
      <c r="B13" s="17" t="s">
        <v>106</v>
      </c>
      <c r="C13" s="11" t="n">
        <v>0.003</v>
      </c>
    </row>
    <row r="14" customFormat="false" ht="15" hidden="false" customHeight="false" outlineLevel="0" collapsed="false">
      <c r="B14" s="17" t="s">
        <v>107</v>
      </c>
      <c r="C14" s="10" t="n">
        <v>12000</v>
      </c>
    </row>
    <row r="15" customFormat="false" ht="15" hidden="false" customHeight="false" outlineLevel="0" collapsed="false">
      <c r="B15" s="17" t="s">
        <v>108</v>
      </c>
      <c r="C15" s="11" t="n">
        <v>0.0015</v>
      </c>
    </row>
    <row r="16" customFormat="false" ht="15" hidden="false" customHeight="false" outlineLevel="0" collapsed="false">
      <c r="B16" s="17" t="s">
        <v>109</v>
      </c>
      <c r="C16" s="9" t="n">
        <v>80</v>
      </c>
    </row>
    <row r="17" customFormat="false" ht="15" hidden="false" customHeight="false" outlineLevel="0" collapsed="false">
      <c r="B17" s="17" t="s">
        <v>110</v>
      </c>
      <c r="C17" s="11" t="n">
        <v>0.2</v>
      </c>
    </row>
    <row r="18" customFormat="false" ht="15" hidden="false" customHeight="false" outlineLevel="0" collapsed="false">
      <c r="B18" s="17" t="s">
        <v>111</v>
      </c>
      <c r="C18" s="9" t="n">
        <v>9</v>
      </c>
    </row>
    <row r="20" customFormat="false" ht="15" hidden="false" customHeight="false" outlineLevel="0" collapsed="false">
      <c r="B20" s="20" t="s">
        <v>112</v>
      </c>
      <c r="C20" s="21" t="s">
        <v>113</v>
      </c>
      <c r="D20" s="21" t="s">
        <v>114</v>
      </c>
      <c r="E20" s="21" t="s">
        <v>115</v>
      </c>
      <c r="F20" s="21" t="s">
        <v>116</v>
      </c>
      <c r="G20" s="21" t="s">
        <v>117</v>
      </c>
      <c r="H20" s="21" t="s">
        <v>118</v>
      </c>
      <c r="I20" s="21" t="s">
        <v>119</v>
      </c>
      <c r="J20" s="21" t="s">
        <v>120</v>
      </c>
      <c r="K20" s="21" t="s">
        <v>121</v>
      </c>
      <c r="L20" s="21" t="s">
        <v>122</v>
      </c>
      <c r="M20" s="21" t="s">
        <v>123</v>
      </c>
      <c r="N20" s="21" t="s">
        <v>124</v>
      </c>
    </row>
    <row r="21" customFormat="false" ht="15" hidden="false" customHeight="false" outlineLevel="0" collapsed="false">
      <c r="B21" s="22" t="s">
        <v>21</v>
      </c>
      <c r="C21" s="23" t="n">
        <f aca="false">$C$6</f>
        <v>60</v>
      </c>
      <c r="D21" s="23" t="n">
        <f aca="false">C21*(1+$C$7)</f>
        <v>70.8</v>
      </c>
      <c r="E21" s="23" t="n">
        <f aca="false">D21*(1+$C$7)</f>
        <v>83.544</v>
      </c>
      <c r="F21" s="23" t="n">
        <f aca="false">E21*(1+$C$7)</f>
        <v>98.58192</v>
      </c>
      <c r="G21" s="23" t="n">
        <f aca="false">F21*(1+$C$7)</f>
        <v>116.3266656</v>
      </c>
      <c r="H21" s="23" t="n">
        <f aca="false">G21*(1+$C$7)</f>
        <v>137.265465408</v>
      </c>
      <c r="I21" s="23" t="n">
        <f aca="false">H21*(1+$C$7)</f>
        <v>161.97324918144</v>
      </c>
      <c r="J21" s="23" t="n">
        <f aca="false">I21*(1+$C$7)</f>
        <v>191.128434034099</v>
      </c>
      <c r="K21" s="23" t="n">
        <f aca="false">J21*(1+$C$7)</f>
        <v>225.531552160237</v>
      </c>
      <c r="L21" s="23" t="n">
        <f aca="false">K21*(1+$C$7)</f>
        <v>266.12723154908</v>
      </c>
      <c r="M21" s="23" t="n">
        <f aca="false">L21*(1+$C$7)</f>
        <v>314.030133227914</v>
      </c>
      <c r="N21" s="23" t="n">
        <f aca="false">M21*(1+$C$7)</f>
        <v>370.555557208938</v>
      </c>
    </row>
    <row r="22" customFormat="false" ht="15" hidden="false" customHeight="false" outlineLevel="0" collapsed="false">
      <c r="B22" s="22" t="s">
        <v>38</v>
      </c>
      <c r="C22" s="14" t="n">
        <f aca="false">C21*$C$8</f>
        <v>480000</v>
      </c>
      <c r="D22" s="14" t="n">
        <f aca="false">D21*$C$8</f>
        <v>566400</v>
      </c>
      <c r="E22" s="14" t="n">
        <f aca="false">E21*$C$8</f>
        <v>668352</v>
      </c>
      <c r="F22" s="14" t="n">
        <f aca="false">F21*$C$8</f>
        <v>788655.36</v>
      </c>
      <c r="G22" s="14" t="n">
        <f aca="false">G21*$C$8</f>
        <v>930613.3248</v>
      </c>
      <c r="H22" s="14" t="n">
        <f aca="false">H21*$C$8</f>
        <v>1098123.723264</v>
      </c>
      <c r="I22" s="14" t="n">
        <f aca="false">I21*$C$8</f>
        <v>1295785.99345152</v>
      </c>
      <c r="J22" s="14" t="n">
        <f aca="false">J21*$C$8</f>
        <v>1529027.47227279</v>
      </c>
      <c r="K22" s="14" t="n">
        <f aca="false">K21*$C$8</f>
        <v>1804252.4172819</v>
      </c>
      <c r="L22" s="14" t="n">
        <f aca="false">L21*$C$8</f>
        <v>2129017.85239264</v>
      </c>
      <c r="M22" s="14" t="n">
        <f aca="false">M21*$C$8</f>
        <v>2512241.06582331</v>
      </c>
      <c r="N22" s="14" t="n">
        <f aca="false">N21*$C$8</f>
        <v>2964444.45767151</v>
      </c>
    </row>
    <row r="23" customFormat="false" ht="15" hidden="false" customHeight="false" outlineLevel="0" collapsed="false">
      <c r="B23" s="22" t="s">
        <v>125</v>
      </c>
      <c r="C23" s="14" t="n">
        <f aca="false">C22*$C$9*$C$10</f>
        <v>1152</v>
      </c>
      <c r="D23" s="14" t="n">
        <f aca="false">D22*$C$9*$C$10</f>
        <v>1359.36</v>
      </c>
      <c r="E23" s="14" t="n">
        <f aca="false">E22*$C$9*$C$10</f>
        <v>1604.0448</v>
      </c>
      <c r="F23" s="14" t="n">
        <f aca="false">F22*$C$9*$C$10</f>
        <v>1892.772864</v>
      </c>
      <c r="G23" s="14" t="n">
        <f aca="false">G22*$C$9*$C$10</f>
        <v>2233.47197952</v>
      </c>
      <c r="H23" s="14" t="n">
        <f aca="false">H22*$C$9*$C$10</f>
        <v>2635.4969358336</v>
      </c>
      <c r="I23" s="14" t="n">
        <f aca="false">I22*$C$9*$C$10</f>
        <v>3109.88638428365</v>
      </c>
      <c r="J23" s="14" t="n">
        <f aca="false">J22*$C$9*$C$10</f>
        <v>3669.6659334547</v>
      </c>
      <c r="K23" s="14" t="n">
        <f aca="false">K22*$C$9*$C$10</f>
        <v>4330.20580147655</v>
      </c>
      <c r="L23" s="14" t="n">
        <f aca="false">L22*$C$9*$C$10</f>
        <v>5109.64284574233</v>
      </c>
      <c r="M23" s="14" t="n">
        <f aca="false">M22*$C$9*$C$10</f>
        <v>6029.37855797595</v>
      </c>
      <c r="N23" s="14" t="n">
        <f aca="false">N22*$C$9*$C$10</f>
        <v>7114.66669841162</v>
      </c>
    </row>
    <row r="24" customFormat="false" ht="15" hidden="false" customHeight="false" outlineLevel="0" collapsed="false">
      <c r="B24" s="22" t="s">
        <v>126</v>
      </c>
      <c r="C24" s="23" t="n">
        <f aca="false">C21*$C$11</f>
        <v>15</v>
      </c>
      <c r="D24" s="23" t="n">
        <f aca="false">D21*$C$11</f>
        <v>17.7</v>
      </c>
      <c r="E24" s="23" t="n">
        <f aca="false">E21*$C$11</f>
        <v>20.886</v>
      </c>
      <c r="F24" s="23" t="n">
        <f aca="false">F21*$C$11</f>
        <v>24.64548</v>
      </c>
      <c r="G24" s="23" t="n">
        <f aca="false">G21*$C$11</f>
        <v>29.0816664</v>
      </c>
      <c r="H24" s="23" t="n">
        <f aca="false">H21*$C$11</f>
        <v>34.316366352</v>
      </c>
      <c r="I24" s="23" t="n">
        <f aca="false">I21*$C$11</f>
        <v>40.49331229536</v>
      </c>
      <c r="J24" s="23" t="n">
        <f aca="false">J21*$C$11</f>
        <v>47.7821085085248</v>
      </c>
      <c r="K24" s="23" t="n">
        <f aca="false">K21*$C$11</f>
        <v>56.3828880400592</v>
      </c>
      <c r="L24" s="23" t="n">
        <f aca="false">L21*$C$11</f>
        <v>66.5318078872699</v>
      </c>
      <c r="M24" s="23" t="n">
        <f aca="false">M21*$C$11</f>
        <v>78.5075333069785</v>
      </c>
      <c r="N24" s="23" t="n">
        <f aca="false">N21*$C$11</f>
        <v>92.6388893022346</v>
      </c>
    </row>
    <row r="25" customFormat="false" ht="15" hidden="false" customHeight="false" outlineLevel="0" collapsed="false">
      <c r="B25" s="22" t="s">
        <v>127</v>
      </c>
      <c r="C25" s="14" t="n">
        <f aca="false">C24*$C$12*$C$13</f>
        <v>180</v>
      </c>
      <c r="D25" s="14" t="n">
        <f aca="false">D24*$C$12*$C$13</f>
        <v>212.4</v>
      </c>
      <c r="E25" s="14" t="n">
        <f aca="false">E24*$C$12*$C$13</f>
        <v>250.632</v>
      </c>
      <c r="F25" s="14" t="n">
        <f aca="false">F24*$C$12*$C$13</f>
        <v>295.74576</v>
      </c>
      <c r="G25" s="14" t="n">
        <f aca="false">G24*$C$12*$C$13</f>
        <v>348.9799968</v>
      </c>
      <c r="H25" s="14" t="n">
        <f aca="false">H24*$C$12*$C$13</f>
        <v>411.796396224</v>
      </c>
      <c r="I25" s="14" t="n">
        <f aca="false">I24*$C$12*$C$13</f>
        <v>485.91974754432</v>
      </c>
      <c r="J25" s="14" t="n">
        <f aca="false">J24*$C$12*$C$13</f>
        <v>573.385302102297</v>
      </c>
      <c r="K25" s="14" t="n">
        <f aca="false">K24*$C$12*$C$13</f>
        <v>676.594656480711</v>
      </c>
      <c r="L25" s="14" t="n">
        <f aca="false">L24*$C$12*$C$13</f>
        <v>798.381694647239</v>
      </c>
      <c r="M25" s="14" t="n">
        <f aca="false">M24*$C$12*$C$13</f>
        <v>942.090399683742</v>
      </c>
      <c r="N25" s="14" t="n">
        <f aca="false">N24*$C$12*$C$13</f>
        <v>1111.66667162682</v>
      </c>
    </row>
    <row r="26" customFormat="false" ht="15" hidden="false" customHeight="false" outlineLevel="0" collapsed="false">
      <c r="B26" s="22" t="s">
        <v>128</v>
      </c>
      <c r="C26" s="14" t="n">
        <f aca="false">C24*$C$14*$C$15</f>
        <v>270</v>
      </c>
      <c r="D26" s="14" t="n">
        <f aca="false">D24*$C$14*$C$15</f>
        <v>318.6</v>
      </c>
      <c r="E26" s="14" t="n">
        <f aca="false">E24*$C$14*$C$15</f>
        <v>375.948</v>
      </c>
      <c r="F26" s="14" t="n">
        <f aca="false">F24*$C$14*$C$15</f>
        <v>443.61864</v>
      </c>
      <c r="G26" s="14" t="n">
        <f aca="false">G24*$C$14*$C$15</f>
        <v>523.4699952</v>
      </c>
      <c r="H26" s="14" t="n">
        <f aca="false">H24*$C$14*$C$15</f>
        <v>617.694594336</v>
      </c>
      <c r="I26" s="14" t="n">
        <f aca="false">I24*$C$14*$C$15</f>
        <v>728.87962131648</v>
      </c>
      <c r="J26" s="14" t="n">
        <f aca="false">J24*$C$14*$C$15</f>
        <v>860.077953153446</v>
      </c>
      <c r="K26" s="14" t="n">
        <f aca="false">K24*$C$14*$C$15</f>
        <v>1014.89198472107</v>
      </c>
      <c r="L26" s="14" t="n">
        <f aca="false">L24*$C$14*$C$15</f>
        <v>1197.57254197086</v>
      </c>
      <c r="M26" s="14" t="n">
        <f aca="false">M24*$C$14*$C$15</f>
        <v>1413.13559952561</v>
      </c>
      <c r="N26" s="14" t="n">
        <f aca="false">N24*$C$14*$C$15</f>
        <v>1667.50000744022</v>
      </c>
    </row>
    <row r="27" customFormat="false" ht="15" hidden="false" customHeight="false" outlineLevel="0" collapsed="false">
      <c r="B27" s="22" t="s">
        <v>129</v>
      </c>
      <c r="C27" s="23" t="n">
        <f aca="false">$C$16</f>
        <v>80</v>
      </c>
      <c r="D27" s="23" t="n">
        <f aca="false">C27*(1+$C$17)</f>
        <v>96</v>
      </c>
      <c r="E27" s="23" t="n">
        <f aca="false">D27*(1+$C$17)</f>
        <v>115.2</v>
      </c>
      <c r="F27" s="23" t="n">
        <f aca="false">E27*(1+$C$17)</f>
        <v>138.24</v>
      </c>
      <c r="G27" s="23" t="n">
        <f aca="false">F27*(1+$C$17)</f>
        <v>165.888</v>
      </c>
      <c r="H27" s="23" t="n">
        <f aca="false">G27*(1+$C$17)</f>
        <v>199.0656</v>
      </c>
      <c r="I27" s="23" t="n">
        <f aca="false">H27*(1+$C$17)</f>
        <v>238.87872</v>
      </c>
      <c r="J27" s="23" t="n">
        <f aca="false">I27*(1+$C$17)</f>
        <v>286.654464</v>
      </c>
      <c r="K27" s="23" t="n">
        <f aca="false">J27*(1+$C$17)</f>
        <v>343.9853568</v>
      </c>
      <c r="L27" s="23" t="n">
        <f aca="false">K27*(1+$C$17)</f>
        <v>412.78242816</v>
      </c>
      <c r="M27" s="23" t="n">
        <f aca="false">L27*(1+$C$17)</f>
        <v>495.338913792</v>
      </c>
      <c r="N27" s="23" t="n">
        <f aca="false">M27*(1+$C$17)</f>
        <v>594.4066965504</v>
      </c>
    </row>
    <row r="28" customFormat="false" ht="15" hidden="false" customHeight="false" outlineLevel="0" collapsed="false">
      <c r="B28" s="22" t="s">
        <v>130</v>
      </c>
      <c r="C28" s="14" t="n">
        <f aca="false">C27*$C$18</f>
        <v>720</v>
      </c>
      <c r="D28" s="14" t="n">
        <f aca="false">D27*$C$18</f>
        <v>864</v>
      </c>
      <c r="E28" s="14" t="n">
        <f aca="false">E27*$C$18</f>
        <v>1036.8</v>
      </c>
      <c r="F28" s="14" t="n">
        <f aca="false">F27*$C$18</f>
        <v>1244.16</v>
      </c>
      <c r="G28" s="14" t="n">
        <f aca="false">G27*$C$18</f>
        <v>1492.992</v>
      </c>
      <c r="H28" s="14" t="n">
        <f aca="false">H27*$C$18</f>
        <v>1791.5904</v>
      </c>
      <c r="I28" s="14" t="n">
        <f aca="false">I27*$C$18</f>
        <v>2149.90848</v>
      </c>
      <c r="J28" s="14" t="n">
        <f aca="false">J27*$C$18</f>
        <v>2579.890176</v>
      </c>
      <c r="K28" s="14" t="n">
        <f aca="false">K27*$C$18</f>
        <v>3095.8682112</v>
      </c>
      <c r="L28" s="14" t="n">
        <f aca="false">L27*$C$18</f>
        <v>3715.04185344</v>
      </c>
      <c r="M28" s="14" t="n">
        <f aca="false">M27*$C$18</f>
        <v>4458.050224128</v>
      </c>
      <c r="N28" s="14" t="n">
        <f aca="false">N27*$C$18</f>
        <v>5349.6602689536</v>
      </c>
    </row>
    <row r="29" customFormat="false" ht="15" hidden="false" customHeight="false" outlineLevel="0" collapsed="false">
      <c r="B29" s="22" t="s">
        <v>131</v>
      </c>
      <c r="C29" s="15" t="n">
        <f aca="false">C23+C25+C26+C28</f>
        <v>2322</v>
      </c>
      <c r="D29" s="15" t="n">
        <f aca="false">D23+D25+D26+D28</f>
        <v>2754.36</v>
      </c>
      <c r="E29" s="15" t="n">
        <f aca="false">E23+E25+E26+E28</f>
        <v>3267.4248</v>
      </c>
      <c r="F29" s="15" t="n">
        <f aca="false">F23+F25+F26+F28</f>
        <v>3876.297264</v>
      </c>
      <c r="G29" s="15" t="n">
        <f aca="false">G23+G25+G26+G28</f>
        <v>4598.91397152</v>
      </c>
      <c r="H29" s="15" t="n">
        <f aca="false">H23+H25+H26+H28</f>
        <v>5456.5783263936</v>
      </c>
      <c r="I29" s="15" t="n">
        <f aca="false">I23+I25+I26+I28</f>
        <v>6474.59423314445</v>
      </c>
      <c r="J29" s="15" t="n">
        <f aca="false">J23+J25+J26+J28</f>
        <v>7683.01936471045</v>
      </c>
      <c r="K29" s="15" t="n">
        <f aca="false">K23+K25+K26+K28</f>
        <v>9117.56065387833</v>
      </c>
      <c r="L29" s="15" t="n">
        <f aca="false">L23+L25+L26+L28</f>
        <v>10820.6389358004</v>
      </c>
      <c r="M29" s="15" t="n">
        <f aca="false">M23+M25+M26+M28</f>
        <v>12842.6547813133</v>
      </c>
      <c r="N29" s="15" t="n">
        <f aca="false">N23+N25+N26+N28</f>
        <v>15243.4936464323</v>
      </c>
    </row>
    <row r="30" customFormat="false" ht="15" hidden="false" customHeight="false" outlineLevel="0" collapsed="false">
      <c r="B30" s="22" t="s">
        <v>132</v>
      </c>
      <c r="C30" s="15" t="n">
        <f aca="false">C29</f>
        <v>2322</v>
      </c>
      <c r="D30" s="15" t="n">
        <f aca="false">C30+D29</f>
        <v>5076.36</v>
      </c>
      <c r="E30" s="15" t="n">
        <f aca="false">D30+E29</f>
        <v>8343.7848</v>
      </c>
      <c r="F30" s="15" t="n">
        <f aca="false">E30+F29</f>
        <v>12220.082064</v>
      </c>
      <c r="G30" s="15" t="n">
        <f aca="false">F30+G29</f>
        <v>16818.99603552</v>
      </c>
      <c r="H30" s="15" t="n">
        <f aca="false">G30+H29</f>
        <v>22275.5743619136</v>
      </c>
      <c r="I30" s="15" t="n">
        <f aca="false">H30+I29</f>
        <v>28750.168595058</v>
      </c>
      <c r="J30" s="15" t="n">
        <f aca="false">I30+J29</f>
        <v>36433.1879597685</v>
      </c>
      <c r="K30" s="15" t="n">
        <f aca="false">J30+K29</f>
        <v>45550.7486136468</v>
      </c>
      <c r="L30" s="15" t="n">
        <f aca="false">K30+L29</f>
        <v>56371.3875494472</v>
      </c>
      <c r="M30" s="15" t="n">
        <f aca="false">L30+M29</f>
        <v>69214.0423307605</v>
      </c>
      <c r="N30" s="15" t="n">
        <f aca="false">M30+N29</f>
        <v>84457.5359771928</v>
      </c>
    </row>
    <row r="32" customFormat="false" ht="15" hidden="false" customHeight="false" outlineLevel="0" collapsed="false">
      <c r="B32" s="24" t="s">
        <v>133</v>
      </c>
      <c r="C32" s="25" t="n">
        <f aca="false">N30</f>
        <v>84457.5359771928</v>
      </c>
    </row>
    <row r="33" customFormat="false" ht="15" hidden="false" customHeight="false" outlineLevel="0" collapsed="false">
      <c r="B33" s="4" t="s">
        <v>134</v>
      </c>
      <c r="C33" s="26" t="n">
        <f aca="false">N29*12</f>
        <v>182921.923757187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2026-06-09T21:07:41Z</dcterms:created>
  <dc:creator>openpyxl</dc:creator>
  <dc:description/>
  <dc:language>en-US</dc:language>
  <cp:lastModifiedBy/>
  <dcterms:modified xsi:type="dcterms:W3CDTF">2026-06-09T21:07:41Z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